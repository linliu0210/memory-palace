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6e28243cc99b99a/文档/"/>
    </mc:Choice>
  </mc:AlternateContent>
  <xr:revisionPtr revIDLastSave="12" documentId="11_78DA70384D59F6B5076B30D8E4BD8CC9C9EA6FC4" xr6:coauthVersionLast="47" xr6:coauthVersionMax="47" xr10:uidLastSave="{D3F782AF-C0D3-4493-A5E1-4A5E931837C7}"/>
  <bookViews>
    <workbookView xWindow="-108" yWindow="-108" windowWidth="23256" windowHeight="12456" activeTab="4" xr2:uid="{00000000-000D-0000-FFFF-FFFF00000000}"/>
  </bookViews>
  <sheets>
    <sheet name="范围与方法" sheetId="1" r:id="rId1"/>
    <sheet name="命名规则" sheetId="2" r:id="rId2"/>
    <sheet name="系列映射" sheetId="3" r:id="rId3"/>
    <sheet name="型号调研" sheetId="4" r:id="rId4"/>
    <sheet name="NPU-GPU对比" sheetId="5" r:id="rId5"/>
    <sheet name="时间线" sheetId="6" r:id="rId6"/>
    <sheet name="结论摘要" sheetId="7" r:id="rId7"/>
  </sheets>
  <definedNames>
    <definedName name="_xlnm._FilterDatabase" localSheetId="4" hidden="1">'NPU-GPU对比'!$A$1:$M$11</definedName>
    <definedName name="_xlnm._FilterDatabase" localSheetId="0" hidden="1">范围与方法!$A$1:$B$30</definedName>
    <definedName name="_xlnm._FilterDatabase" localSheetId="6" hidden="1">结论摘要!$A$1:$B$7</definedName>
    <definedName name="_xlnm._FilterDatabase" localSheetId="1" hidden="1">命名规则!$A$1:$H$9</definedName>
    <definedName name="_xlnm._FilterDatabase" localSheetId="5" hidden="1">时间线!$A$1:$D$7</definedName>
    <definedName name="_xlnm._FilterDatabase" localSheetId="2" hidden="1">系列映射!$A$1:$H$6</definedName>
    <definedName name="_xlnm._FilterDatabase" localSheetId="3" hidden="1">型号调研!$A$1:$M$10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5" l="1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H2" i="5"/>
  <c r="G2" i="5"/>
</calcChain>
</file>

<file path=xl/sharedStrings.xml><?xml version="1.0" encoding="utf-8"?>
<sst xmlns="http://schemas.openxmlformats.org/spreadsheetml/2006/main" count="406" uniqueCount="309">
  <si>
    <t>项目</t>
  </si>
  <si>
    <t>说明</t>
  </si>
  <si>
    <t>方法说明 1</t>
  </si>
  <si>
    <t>这次把两层东西拆开了：Ascend 310/610/910 更偏底层 AI 处理器/芯片命名；Atlas 200/300/500/800/900 更偏产品形态命名。</t>
  </si>
  <si>
    <t>方法说明 2</t>
  </si>
  <si>
    <t>因此，Atlas 300 不是 Ascend 310。前者是板卡家族，后者是芯片家族；一个 Atlas 300 产品可以基于一颗或多颗 Ascend 芯片。</t>
  </si>
  <si>
    <t>方法说明 3</t>
  </si>
  <si>
    <t>华为很多页面并不直接写“上市日期”。这份表把时间分成两类：</t>
  </si>
  <si>
    <t>方法说明 4</t>
  </si>
  <si>
    <t>1）明确发布日期：来自华为官方新闻稿；2）官方可核验公开时间：来自华为支持中心/产品页/产品彩页的公开日期或更新时间。</t>
  </si>
  <si>
    <t>方法说明 5</t>
  </si>
  <si>
    <t>Ascend 610 这一项，我在本轮华为企业官网、支持中心、昇腾社区公开资料中，没有找到像 310/910 那样稳定且完整的独立商用品系页面，因此只做命名层提醒，不做规格对比结论。</t>
  </si>
  <si>
    <t>方法说明 6</t>
  </si>
  <si>
    <t>Ascend 910A / 910B / 910C 在本表中的对比，优先采用华为公开可核验的产品载体来落表：910A 用 910 路线公开训练卡/芯片口径，910B 用 Atlas 300I A2 这类 910B 产品口径，910C 用 Atlas 800T A3 的公开整机规格按单颗折算。</t>
  </si>
  <si>
    <t>方法说明 7</t>
  </si>
  <si>
    <t>GPU 对标依然只针对能核验整卡规格的 Atlas 板卡，优先比较 INT8/FP16、内存、功耗、形态和主场景，并尽量统一到稠密算力口径。</t>
  </si>
  <si>
    <t>来源 1</t>
  </si>
  <si>
    <t>华为官方新闻：</t>
  </si>
  <si>
    <t>来源 2</t>
  </si>
  <si>
    <t>https://www.huawei.com/en/press-events/news/2018/10/huawei-launches-ai-strategy-and-full-stack-all-scenario-ai-portfolio</t>
  </si>
  <si>
    <t>来源 3</t>
  </si>
  <si>
    <t>https://www.huawei.com/en/news/2019/4/huawei-atlas-artificial-intelligence-computing-platform</t>
  </si>
  <si>
    <t>来源 4</t>
  </si>
  <si>
    <t>https://www.huawei.com/en/news/2019/9/huawei-computing-strategy-atlas-900-ai-training-cluster</t>
  </si>
  <si>
    <t>来源 5</t>
  </si>
  <si>
    <t>https://www.huawei.com/en/events/huaweiconnect/2025/keynotes</t>
  </si>
  <si>
    <t>来源 6</t>
  </si>
  <si>
    <t>华为官方产品/文档：</t>
  </si>
  <si>
    <t>来源 7</t>
  </si>
  <si>
    <t>https://www.hiascend.com/document/detail/zh/AscendFAQ/ProduTech/productform/hardwaredesc_0001.html</t>
  </si>
  <si>
    <t>来源 8</t>
  </si>
  <si>
    <t>https://support.huawei.com/enterprise/zh/doc/EDOC1100445106?idPath=23710424</t>
  </si>
  <si>
    <t>来源 9</t>
  </si>
  <si>
    <t>https://support.huawei.com/enterprise/zh/doc/EDOC1100393496</t>
  </si>
  <si>
    <t>来源 10</t>
  </si>
  <si>
    <t>https://e.huawei.com/cn/products/computing/ascend/atlas-300v</t>
  </si>
  <si>
    <t>来源 11</t>
  </si>
  <si>
    <t>https://e.huawei.com/cn/products/computing/ascend/atlas-300-ai</t>
  </si>
  <si>
    <t>来源 12</t>
  </si>
  <si>
    <t>https://e.huawei.com/cn/products/computing/ascend/atlas-300v-pro</t>
  </si>
  <si>
    <t>来源 13</t>
  </si>
  <si>
    <t>https://e.huawei.com/cn/products/computing/ascend/atlas-300i-duo</t>
  </si>
  <si>
    <t>来源 14</t>
  </si>
  <si>
    <t>https://e.huawei.com/cn/products/computing/ascend/atlas-300i-a2</t>
  </si>
  <si>
    <t>来源 15</t>
  </si>
  <si>
    <t>https://e.huawei.com/cn/products/computing/ascend/atlas-800t-a3</t>
  </si>
  <si>
    <t>来源 16</t>
  </si>
  <si>
    <t>https://support.huawei.com/enterprise/zh/doc/EDOC1100301103</t>
  </si>
  <si>
    <t>来源 17</t>
  </si>
  <si>
    <t>NVIDIA 官方资料：</t>
  </si>
  <si>
    <t>来源 18</t>
  </si>
  <si>
    <t>https://www.nvidia.com/content/dam/en-zz/solutions/data-center/a2/pdf/a2-datasheet.pdf</t>
  </si>
  <si>
    <t>来源 19</t>
  </si>
  <si>
    <t>https://www.nvidia.com/content/dam/en-zz/Solutions/Data-Center/tesla-t4/t4-tensor-core-datasheet.pdf</t>
  </si>
  <si>
    <t>来源 20</t>
  </si>
  <si>
    <t>https://www.nvidia.com/es-la/data-center/l4/</t>
  </si>
  <si>
    <t>来源 21</t>
  </si>
  <si>
    <t>https://www.nvidia.com/content/dam/en-zz/Solutions/Data-Center/nvidia-ampere-architecture-whitepaper.pdf</t>
  </si>
  <si>
    <t>来源 22</t>
  </si>
  <si>
    <t>https://www.nvidia.com/en-gb/data-center/h100/</t>
  </si>
  <si>
    <t>名称</t>
  </si>
  <si>
    <t>层级</t>
  </si>
  <si>
    <t>它是什么</t>
  </si>
  <si>
    <t>主要用途/定位</t>
  </si>
  <si>
    <t>与 Atlas 300 的关系</t>
  </si>
  <si>
    <t>时间</t>
  </si>
  <si>
    <t>时间口径</t>
  </si>
  <si>
    <t>官方来源</t>
  </si>
  <si>
    <t>Ascend</t>
  </si>
  <si>
    <t>芯片/处理器系列</t>
  </si>
  <si>
    <t>华为 AI 处理器家族，属于底层算力芯片命名。</t>
  </si>
  <si>
    <t>承载训练、推理、边缘 AI 等算力能力。</t>
  </si>
  <si>
    <t>Atlas 产品通常是基于 Ascend 处理器封装出来的板卡、模块、服务器或集群。</t>
  </si>
  <si>
    <t>2018-10-10</t>
  </si>
  <si>
    <t>明确发布日期（华为新闻稿）</t>
  </si>
  <si>
    <t>Atlas</t>
  </si>
  <si>
    <t>产品/平台系列</t>
  </si>
  <si>
    <t>华为 AI 计算产品形态家族，不是单一芯片名。</t>
  </si>
  <si>
    <t>把 Ascend 处理器封装成模块、加速卡、边缘设备、服务器和集群。</t>
  </si>
  <si>
    <t>Atlas 200/300/500/800/900 是形态层级；不等于 Ascend 200/300/500/800/900。</t>
  </si>
  <si>
    <t>2019-04-17</t>
  </si>
  <si>
    <t>明确发布日期（华为新闻稿，商业化发布 Atlas 平台）</t>
  </si>
  <si>
    <t>Atlas 300</t>
  </si>
  <si>
    <t>板卡家族</t>
  </si>
  <si>
    <t>Atlas 300 代表 PCIe 加速卡形态，含推理卡、视频解析卡、训练卡。</t>
  </si>
  <si>
    <t>插在服务器里做中心侧推理、视频分析或训练/HPC。</t>
  </si>
  <si>
    <t>不是 Ascend 310；Atlas 300 下的不同型号会分别基于 Ascend 310 系或 910 系等处理器。</t>
  </si>
  <si>
    <t>明确发布日期（Atlas 平台/Atlas 300 AI 加速卡新闻稿）</t>
  </si>
  <si>
    <t>Ascend 310 系列</t>
  </si>
  <si>
    <t>芯片家族</t>
  </si>
  <si>
    <t>低功耗到中高性能推理处理器家族，官方公开资料中主要对应推理和边缘侧。</t>
  </si>
  <si>
    <t>边缘推理、中心推理、视频分析等。</t>
  </si>
  <si>
    <t>Atlas 200I、Atlas 300I、Atlas 300I Pro、Atlas 300V Pro、Atlas 300I Duo 等公开产品都和 310 系列有关。</t>
  </si>
  <si>
    <t>明确发布日期（新闻稿）；2025 年官方 keynote 回顾中也明确称 Ascend 310 launched in 2018</t>
  </si>
  <si>
    <t>Ascend 610</t>
  </si>
  <si>
    <t>命名层提醒</t>
  </si>
  <si>
    <t>本轮没有在华为企业官网/支持中心/昇腾社区公开页面中检索到像 310/910 那样稳定、完整的独立商用品系页面。</t>
  </si>
  <si>
    <t>暂不建议把它当成和 310/910 同级、同公开度的现售公开系列来做结论。</t>
  </si>
  <si>
    <t>如果你是在某份社区材料或内部材料里看到 610，建议把具体链接发我，我可以继续对那一支做定点核验。</t>
  </si>
  <si>
    <t>未核验到稳定公开发布日期</t>
  </si>
  <si>
    <t>本轮仅能确认“当前官方公开产品列表并未像 310/910 那样突出展示 610 商用品系”</t>
  </si>
  <si>
    <t>Ascend 910 系列</t>
  </si>
  <si>
    <t>高端训练/中心侧 AI 处理器家族，面向大算力训练和高端推理。</t>
  </si>
  <si>
    <t>AI 训练、HPC、大模型推理、中心侧高性能推理。</t>
  </si>
  <si>
    <t>Atlas 300T、Atlas 300T Pro、Atlas 300I A2、Atlas 800I A2、Atlas 900 等公开产品与 910 系列相关。</t>
  </si>
  <si>
    <t>2019</t>
  </si>
  <si>
    <t>官方 2025 keynote 回顾明确称 Ascend 910 launched in 2019；Atlas 900 新闻稿日期为 2019-09-18</t>
  </si>
  <si>
    <t>A2 / A3</t>
  </si>
  <si>
    <t>代际标记</t>
  </si>
  <si>
    <t>A2、A3 是 Atlas 产品家族里的代际/平台代号，不是芯片型号本身。</t>
  </si>
  <si>
    <t>区分不同一代训练/推理服务器、板卡和集群。</t>
  </si>
  <si>
    <t>Atlas 300I A2、Atlas 800I A2、Atlas 900 A2；Atlas 800T A3、Atlas 900 A3 等都属于代际标记。</t>
  </si>
  <si>
    <t>官方产品列表已公开可见</t>
  </si>
  <si>
    <t>本轮使用产品列表页做命名核验，未进一步追溯每个 A2/A3 产品的首次上市日</t>
  </si>
  <si>
    <t>I / T / V 后缀</t>
  </si>
  <si>
    <t>命名规律（基于公开产品列表归纳）</t>
  </si>
  <si>
    <t>I 多为 Inference/推理，T 多为 Training/训练，V 多为 Video/视频解析。</t>
  </si>
  <si>
    <t>帮助快速判断产品偏推理、训练还是视频分析。</t>
  </si>
  <si>
    <t>例如 300I Pro 是推理卡，300T Pro 是训练卡，300V Pro 是视频解析卡。</t>
  </si>
  <si>
    <t>公开产品列表长期可核验</t>
  </si>
  <si>
    <t>这是依据官方产品名归纳出的命名规则，不是华为单独发布的一张命名说明表</t>
  </si>
  <si>
    <t>Atlas 系列</t>
  </si>
  <si>
    <t>产品形态</t>
  </si>
  <si>
    <t>主要用途</t>
  </si>
  <si>
    <t>典型型号</t>
  </si>
  <si>
    <t>底层处理器关系</t>
  </si>
  <si>
    <t>Atlas 200</t>
  </si>
  <si>
    <t>加速模块 / 开发者套件</t>
  </si>
  <si>
    <t>端侧、边缘侧、嵌入式开发</t>
  </si>
  <si>
    <t>Atlas 200I A2 加速模块、Atlas 200I DK A2</t>
  </si>
  <si>
    <t>公开列表显示多与 Ascend 310 系列相关</t>
  </si>
  <si>
    <t>Atlas 平台商业化发布日期</t>
  </si>
  <si>
    <t>加速卡 / PCIe 板卡</t>
  </si>
  <si>
    <t>中心侧推理、视频解析、训练/HPC</t>
  </si>
  <si>
    <t>Atlas 300I、300I Pro、300V、300I Duo、300T Pro</t>
  </si>
  <si>
    <t>既有 Ascend 310 系推理卡，也有 Ascend 910 系训练/高端推理卡</t>
  </si>
  <si>
    <t>Atlas 500</t>
  </si>
  <si>
    <t>智能小站 / 边缘服务器</t>
  </si>
  <si>
    <t>边缘 AI、园区、交通、安防等</t>
  </si>
  <si>
    <t>Atlas 500、Atlas 500 Pro、Atlas 500 A2</t>
  </si>
  <si>
    <t>公开方案文档中多归入 310 系和边缘推理栈</t>
  </si>
  <si>
    <t>Atlas 800</t>
  </si>
  <si>
    <t>服务器</t>
  </si>
  <si>
    <t>中心推理、训练、企业机房和数据中心</t>
  </si>
  <si>
    <t>Atlas 800 推理服务器、Atlas 800I A2、Atlas 800T A2</t>
  </si>
  <si>
    <t>推理型既有 310 系也有 910 系；训练型和 A2/A3 高端产品多与 910 系相关</t>
  </si>
  <si>
    <t>2019-09-18</t>
  </si>
  <si>
    <t>Atlas 900/计算战略新闻稿同阶段官方公开</t>
  </si>
  <si>
    <t>Atlas 900</t>
  </si>
  <si>
    <t>训练集群 / PoD / SuperPoD</t>
  </si>
  <si>
    <t>大规模 AI 训练、科研、超算</t>
  </si>
  <si>
    <t>Atlas 900、Atlas 900 A2、Atlas 900 A3</t>
  </si>
  <si>
    <t>基于大量 Ascend 处理器构建的训练集群，官方公开语境里与 910 系高性能路线绑定最紧</t>
  </si>
  <si>
    <t>型号</t>
  </si>
  <si>
    <t>类别</t>
  </si>
  <si>
    <t>底层处理器/系列</t>
  </si>
  <si>
    <t>INT8 (TOPS)</t>
  </si>
  <si>
    <t>FP16 (TFLOPS)</t>
  </si>
  <si>
    <t>内存</t>
  </si>
  <si>
    <t>带宽</t>
  </si>
  <si>
    <t>功耗 (W)</t>
  </si>
  <si>
    <t>官方可核验公开时间</t>
  </si>
  <si>
    <t>备注</t>
  </si>
  <si>
    <t>推理卡</t>
  </si>
  <si>
    <t>4 x Ascend 310 系列 AI 处理器</t>
  </si>
  <si>
    <t>图像识别、推理、边缘和中心侧视频分析</t>
  </si>
  <si>
    <t>32 GB</t>
  </si>
  <si>
    <t>未在本轮统一核验</t>
  </si>
  <si>
    <t>明确发布日期（Atlas 300 AI 加速卡新闻稿）</t>
  </si>
  <si>
    <t>官方新闻稿写明为 Atlas 300 AI accelerator card，单卡 64 TOPS INT8、32 GB DDR4、67 W；方案概述页写明采用 4 个 Ascend 310 系列 AI 处理器。</t>
  </si>
  <si>
    <t>Atlas 300I Pro</t>
  </si>
  <si>
    <t>Ascend 310 系列 AI 处理器</t>
  </si>
  <si>
    <t>OCR、语音识别、搜索推荐、内容审核</t>
  </si>
  <si>
    <t>LPDDR4X 24 GB</t>
  </si>
  <si>
    <t>204.8 GB/s</t>
  </si>
  <si>
    <t>2025-03-03</t>
  </si>
  <si>
    <t>官方方案概述页更新时间；本轮未直接找到更早新闻稿</t>
  </si>
  <si>
    <t>方案概述页明确写成“基于 Ascend 310 系列 AI 处理器的新一代高性能推理卡”。</t>
  </si>
  <si>
    <t>Atlas 300V</t>
  </si>
  <si>
    <t>视频解析卡 / 推理卡</t>
  </si>
  <si>
    <t>昇腾 AI 处理器（官方当前产品页未细分到 310/910）</t>
  </si>
  <si>
    <t>智慧城市、交通、园区等视频实时分析</t>
  </si>
  <si>
    <t>当前产品页可公开核验</t>
  </si>
  <si>
    <t>本轮未抓到明确上市新闻稿日期</t>
  </si>
  <si>
    <t>支持 100 路 1080P 25FPS 视频实时分析。</t>
  </si>
  <si>
    <t>Atlas 300V Pro</t>
  </si>
  <si>
    <t>视频解析、视频图片编解码、特征检索</t>
  </si>
  <si>
    <t>LPDDR4X 48 GB</t>
  </si>
  <si>
    <t>方案概述页明确写成“基于 Ascend 310 系列 AI 处理器的新一代高性能解析卡”。</t>
  </si>
  <si>
    <t>Atlas 300I Duo</t>
  </si>
  <si>
    <t>2 x Ascend 310 系列 AI 处理器</t>
  </si>
  <si>
    <t>OCR、语音识别、搜索推荐、内容审核、视频分析</t>
  </si>
  <si>
    <t>LPDDR4X 48 GB / 96 GB</t>
  </si>
  <si>
    <t>408 GB/s</t>
  </si>
  <si>
    <t>方案概述页明确写成“基于 2 个 Ascend 310 系列 AI 处理器”。</t>
  </si>
  <si>
    <t>Atlas 300I A2</t>
  </si>
  <si>
    <t>Ascend 910 系列 AI 处理器</t>
  </si>
  <si>
    <t>大模型推理、内容审核、中心侧高端推理</t>
  </si>
  <si>
    <t>32 GB / 64 GB HBM</t>
  </si>
  <si>
    <t>0.8 TB/s / 1.6 TB/s</t>
  </si>
  <si>
    <t>2024-08-09</t>
  </si>
  <si>
    <t>官方方案概述页更新时间；该页已明确列出 Atlas 300I A2</t>
  </si>
  <si>
    <t>方案概述页明确写成“基于 Ascend 910 系列 AI 处理器的新一代高性能推理卡”。</t>
  </si>
  <si>
    <t>Atlas 300T（型号 9000）</t>
  </si>
  <si>
    <t>训练卡</t>
  </si>
  <si>
    <t>1 x Ascend 910 AI 处理器</t>
  </si>
  <si>
    <t>AI 训练、高性能计算</t>
  </si>
  <si>
    <t>本轮未统一核验整卡字段</t>
  </si>
  <si>
    <t>官方支持中心存在产品条目</t>
  </si>
  <si>
    <t>本轮未追到稳定公开新闻稿日期</t>
  </si>
  <si>
    <t>官方支持页面明确写成 Atlas 300T 训练卡（型号 9000），配置 1 x Ascend 910 AI 处理器。</t>
  </si>
  <si>
    <t>https://support.huawei.com/enterprise/en/ascend-computing/atlas-300t-pid-249696727</t>
  </si>
  <si>
    <t>Atlas 300T Pro</t>
  </si>
  <si>
    <t>Ascend 910 路线（官方公开资料中归入训练/HPC）</t>
  </si>
  <si>
    <t>深度学习训练、高性能计算</t>
  </si>
  <si>
    <t>片上内存 32 GB + DDR4 16 GB（ECC）</t>
  </si>
  <si>
    <t>本轮未统一核验整卡带宽</t>
  </si>
  <si>
    <t>官方支持中心公开可核验</t>
  </si>
  <si>
    <t>本轮主要用快速指南与支持页核验规格</t>
  </si>
  <si>
    <t>快速指南公开主指标为 280 TFLOPS FP16、PCIe 4.0 x16 + 100GE QSFP-DD，定位训练/HPC。</t>
  </si>
  <si>
    <t>官方支持中心可见产品条目，但本轮未抓到稳定公开规格页</t>
  </si>
  <si>
    <t>A2 代训练路线</t>
  </si>
  <si>
    <t>待补</t>
  </si>
  <si>
    <t>本轮只确认“有官方产品条目”，未形成规格结论</t>
  </si>
  <si>
    <t>如果你要，我下一轮可以专门补 Atlas 300T A2 公开规格追溯。</t>
  </si>
  <si>
    <t>https://support.huawei.cn/enterprise/zh/ascend-computing/atlas-300t-a2-pid-254184749</t>
  </si>
  <si>
    <t>NPU 型号</t>
  </si>
  <si>
    <t>NPU INT8 (TOPS)</t>
  </si>
  <si>
    <t>NPU FP16 (TFLOPS)</t>
  </si>
  <si>
    <t>相近 GPU 型号</t>
  </si>
  <si>
    <t>GPU INT8 (TOPS, 稠密)</t>
  </si>
  <si>
    <t>GPU FP16 (TFLOPS, 稠密)</t>
  </si>
  <si>
    <t>INT8 差距</t>
  </si>
  <si>
    <t>FP16 差距</t>
  </si>
  <si>
    <t>匹配结论</t>
  </si>
  <si>
    <t>主要理由</t>
  </si>
  <si>
    <t>差异提醒</t>
  </si>
  <si>
    <t>华为来源</t>
  </si>
  <si>
    <t>GPU 来源</t>
  </si>
  <si>
    <t>Ascend 910A（按公开 910 路线口径）</t>
  </si>
  <si>
    <t>NVIDIA A100 40GB PCIe（稠密 Tensor Core 指标）</t>
  </si>
  <si>
    <t>最接近的高端训练/推理 GPU 档位</t>
  </si>
  <si>
    <t>公开的 Ascend 910 首发口径常被视作 910A 的公开基线；其 256 TFLOPS FP16、512 TOPS INT8 与 A100 稠密 312 / 624 最接近。</t>
  </si>
  <si>
    <t>说明：华为公开新闻稿通常写 Ascend 910，不总是单独写 910A；因此这行按公开 910 口径落表。</t>
  </si>
  <si>
    <t>Ascend 910B（公开载体：Atlas 300I A2）</t>
  </si>
  <si>
    <t>最接近的高端数据中心推理/训练 GPU</t>
  </si>
  <si>
    <t>华为公开产品形态说明明确 A2 产品线对应 Ascend 910B；Atlas 300I A2 公开整卡指标为 560 TOPS INT8、280 TFLOPS FP16，与 A100 稠密 624 / 312 最接近。</t>
  </si>
  <si>
    <t>这里使用的是 910B 的公开单卡载体口径，而不是裸芯片未封装规格。</t>
  </si>
  <si>
    <t>Ascend 910C（按 Atlas 800T A3 单颗折算）</t>
  </si>
  <si>
    <t>NVIDIA H100 SXM（按官网稠密 Tensor Core 指标）</t>
  </si>
  <si>
    <t>最接近的超高端训练 GPU 档位</t>
  </si>
  <si>
    <t>华为公开产品形态说明明确 A3 产品线对应 Ascend 910C；Atlas 800T A3 公开为 8 颗昇腾 910、6.0 PFLOPS FP16、12.0 POPS INT8，按单颗折算约为 750 TFLOPS FP16、1500 TOPS INT8，已进入 H100 这一代的比较区间。</t>
  </si>
  <si>
    <t>这里是依据 Atlas 800T A3 整机公开规格做单颗折算，属于推导值；H100 官网标注值带 sparsity，表中已换成稠密值。</t>
  </si>
  <si>
    <t>Atlas 300I（3000/3010）</t>
  </si>
  <si>
    <t>NVIDIA A2</t>
  </si>
  <si>
    <t>更像入门级低功耗数据中心推理 GPU</t>
  </si>
  <si>
    <t>Atlas 300I 的官方公开主指标是 64 TOPS INT8、67 W；NVIDIA A2 与它处在同一低功耗推理档，整卡吞吐比 T4 更接近。</t>
  </si>
  <si>
    <t>本轮没有抓到 A2 的官方 PDF 细表，因此这行只保留结论，不像其他行那样展开更多字段。</t>
  </si>
  <si>
    <t>https://www.nvidia.com/en-us/data-center/products/a2/</t>
  </si>
  <si>
    <t>NVIDIA T4</t>
  </si>
  <si>
    <t>最接近的 70W 级视频/推理 GPU</t>
  </si>
  <si>
    <t>两者都处在 70W 左右的低矮 PCIe 推理卡区间，INT8/FP16 峰值接近。</t>
  </si>
  <si>
    <t>华为卡的视频解析能力描述更强；T4 的 CUDA/TensorRT 生态更成熟。</t>
  </si>
  <si>
    <t>最接近的主流单卡推理 GPU</t>
  </si>
  <si>
    <t>INT8/FP16 峰值非常接近，都是面向数据中心推理的低功耗 PCIe 卡。</t>
  </si>
  <si>
    <t>Atlas 300I Pro 的 24 GB 内存高于 T4 的 16 GB。</t>
  </si>
  <si>
    <t>原始推理吞吐最接近 T4</t>
  </si>
  <si>
    <t>按官方整卡峰值，140 TOPS INT8 / 70 TFLOPS FP16 与 T4 的 130 / 65 最接近。</t>
  </si>
  <si>
    <t>300V Pro 明显更偏视频解析；如果更看重媒体管线角色，也可以把 L4 视作同场景替代。</t>
  </si>
  <si>
    <t>NVIDIA L4（按官网注记换算为稠密值）</t>
  </si>
  <si>
    <t>单卡稠密 INT8/FP16 最接近的低功耗数据中心 GPU</t>
  </si>
  <si>
    <t>L4 官方页给出 485 TOPS INT8*、242 TFLOPS FP16*，并注明无稀疏时减半，因此稠密值约为 242.5 / 121，与 300I Duo 的 280 / 140 最接近。</t>
  </si>
  <si>
    <t>300I Duo 更像双芯片高吞吐推理卡；L4 更省电、生态更广。</t>
  </si>
  <si>
    <t>最接近的大模型/高端数据中心推理档位</t>
  </si>
  <si>
    <t>A100 官方稠密 FP16 Tensor Core 312 TFLOPS、INT8 624 TOPS，与 300I A2 的 560 / 280 最接近。</t>
  </si>
  <si>
    <t>300I A2 明确面向生成式大模型推理；A100 同时兼顾训练、推理与 HPC。</t>
  </si>
  <si>
    <t>训练卡里最接近的高端 PCIe 训练/计算 GPU</t>
  </si>
  <si>
    <t>300T Pro 官方公开主指标是 280 TFLOPS FP16；A100 稠密 FP16 Tensor Core 是 312 TFLOPS，定位也都属于高端数据中心 AI 训练/计算卡。</t>
  </si>
  <si>
    <t>300T Pro 还集成 100GE 接口，更强调分布式训练链路。</t>
  </si>
  <si>
    <t>事件</t>
  </si>
  <si>
    <t>为什么重要</t>
  </si>
  <si>
    <t>华为发布 AI 战略和全栈全场景 AI 方案</t>
  </si>
  <si>
    <t>Ascend 系列和 Da Vinci 架构进入公开视野，是 310/910 与 Atlas 命名体系的起点。</t>
  </si>
  <si>
    <t>华为商业化发布 Atlas AI 计算平台</t>
  </si>
  <si>
    <t>Atlas 200/300/500/800/900 平台化路线正式落地，Atlas 300 AI accelerator card 公开亮相。</t>
  </si>
  <si>
    <t>官方回顾中明确：Ascend 910 launched in 2019</t>
  </si>
  <si>
    <t>说明 910 与 310 不是同一时间点成熟；310 在 2018，910 在 2019。</t>
  </si>
  <si>
    <t>华为发布 Atlas 900</t>
  </si>
  <si>
    <t>Atlas 900 代表 910 路线的大规模训练集群公开成型。</t>
  </si>
  <si>
    <t>Ascend Inference Solution 23.0.0 文档更新</t>
  </si>
  <si>
    <t>该官方方案概述页已明确列出 Atlas 300I A2，并写明其基于 Ascend 910 系列 AI 处理器。</t>
  </si>
  <si>
    <t>Ascend Inference Solution 24.0.0 文档更新</t>
  </si>
  <si>
    <t>该官方方案概述页明确写明 Atlas 300I Pro / 300V Pro / 300I Duo 与 Ascend 310 系列的关系。</t>
  </si>
  <si>
    <t>结论</t>
  </si>
  <si>
    <t>先记一句话</t>
  </si>
  <si>
    <t>Ascend 310/910 是芯片名；Atlas 300 是板卡家族名，所以“300”和“310”不是一回事。</t>
  </si>
  <si>
    <t>怎么快速理解 310</t>
  </si>
  <si>
    <t>优先把它理解成推理/边缘路线。公开产品里，Atlas 300I、300I Pro、300V Pro、300I Duo 都与 310 系列紧密相关。</t>
  </si>
  <si>
    <t>怎么快速理解 910</t>
  </si>
  <si>
    <t>优先把它理解成高端训练/高端推理路线。公开产品里，Atlas 300T、300T Pro、300I A2、Atlas 900 等与 910 系列相关。</t>
  </si>
  <si>
    <t>怎么理解 Atlas 300</t>
  </si>
  <si>
    <t>把它理解成“插在服务器里的 PCIe 卡”。里面既可以是 310 路线的推理卡，也可以是 910 路线的训练卡/高端推理卡。</t>
  </si>
  <si>
    <t>A2/A3 是什么</t>
  </si>
  <si>
    <t>A2/A3 更像产品代际，不是 310/910 那种底层芯片编号。</t>
  </si>
  <si>
    <r>
      <t>Atlas 300I</t>
    </r>
    <r>
      <rPr>
        <sz val="11"/>
        <rFont val="微软雅黑"/>
        <family val="2"/>
        <charset val="134"/>
      </rPr>
      <t>（型号</t>
    </r>
    <r>
      <rPr>
        <sz val="11"/>
        <rFont val="Calibri"/>
        <family val="2"/>
      </rPr>
      <t xml:space="preserve"> 3000/3010</t>
    </r>
    <r>
      <rPr>
        <sz val="11"/>
        <rFont val="微软雅黑"/>
        <family val="2"/>
        <charset val="134"/>
      </rPr>
      <t>）</t>
    </r>
    <phoneticPr fontId="4" type="noConversion"/>
  </si>
  <si>
    <t>Atlas 300I Pro</t>
    <phoneticPr fontId="4" type="noConversion"/>
  </si>
  <si>
    <t>Atlas 300T A2</t>
    <phoneticPr fontId="4" type="noConversion"/>
  </si>
  <si>
    <r>
      <t>NVIDIA A100 40GB PCIe</t>
    </r>
    <r>
      <rPr>
        <sz val="11"/>
        <rFont val="微软雅黑"/>
        <family val="2"/>
        <charset val="134"/>
      </rPr>
      <t>（稠密</t>
    </r>
    <r>
      <rPr>
        <sz val="11"/>
        <rFont val="Calibri"/>
        <family val="2"/>
      </rPr>
      <t xml:space="preserve"> Tensor Core </t>
    </r>
    <r>
      <rPr>
        <sz val="11"/>
        <rFont val="微软雅黑"/>
        <family val="2"/>
        <charset val="134"/>
      </rPr>
      <t>指标）</t>
    </r>
    <phoneticPr fontId="4" type="noConversion"/>
  </si>
  <si>
    <t>https://www.nvidia.com/content/dam/en-zz/Solutions/Data-Center/nvidia-ampere-architecture-whitepaper.pdf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</si>
</sst>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9" x14ac:knownFonts="1">
    <font>
      <sz val="11"/>
      <color theme="1"/>
      <name val="宋体"/>
      <family val="2"/>
      <scheme val="minor"/>
    </font>
    <font>
      <sz val="11"/>
      <name val="Calibri"/>
    </font>
    <font>
      <b/>
      <sz val="11"/>
      <color rgb="FFFFFFFF"/>
      <name val="宋体"/>
      <charset val="134"/>
    </font>
    <font>
      <i/>
      <sz val="11"/>
      <color rgb="FF7F6000"/>
      <name val="Calibri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  <font>
      <sz val="11"/>
      <name val="Calibri"/>
      <family val="2"/>
    </font>
    <font>
      <sz val="11"/>
      <color theme="0"/>
      <name val="Calibri"/>
      <family val="2"/>
    </font>
    <font>
      <u/>
      <sz val="11"/>
      <color theme="10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76" fontId="1" fillId="0" borderId="1" xfId="0" applyNumberFormat="1" applyFont="1" applyBorder="1" applyAlignment="1">
      <alignment vertical="top" wrapText="1"/>
    </xf>
    <xf numFmtId="177" fontId="1" fillId="0" borderId="1" xfId="0" applyNumberFormat="1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1" applyBorder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vidia.com/content/dam/en-zz/Solutions/Data-Center/nvidia-ampere-architecture-whitepape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25"/>
  <cols>
    <col min="1" max="1" width="18" customWidth="1"/>
    <col min="2" max="2" width="1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ht="28.8" x14ac:dyDescent="0.25">
      <c r="A6" s="2" t="s">
        <v>10</v>
      </c>
      <c r="B6" s="3" t="s">
        <v>11</v>
      </c>
    </row>
    <row r="7" spans="1:2" ht="28.8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  <row r="11" spans="1:2" x14ac:dyDescent="0.25">
      <c r="A11" s="4" t="s">
        <v>20</v>
      </c>
      <c r="B11" s="5" t="s">
        <v>21</v>
      </c>
    </row>
    <row r="12" spans="1:2" x14ac:dyDescent="0.25">
      <c r="A12" s="4" t="s">
        <v>22</v>
      </c>
      <c r="B12" s="5" t="s">
        <v>23</v>
      </c>
    </row>
    <row r="13" spans="1:2" x14ac:dyDescent="0.25">
      <c r="A13" s="4" t="s">
        <v>24</v>
      </c>
      <c r="B13" s="5" t="s">
        <v>25</v>
      </c>
    </row>
    <row r="14" spans="1:2" x14ac:dyDescent="0.25">
      <c r="A14" s="4" t="s">
        <v>26</v>
      </c>
      <c r="B14" s="5" t="s">
        <v>27</v>
      </c>
    </row>
    <row r="15" spans="1:2" x14ac:dyDescent="0.25">
      <c r="A15" s="4" t="s">
        <v>28</v>
      </c>
      <c r="B15" s="5" t="s">
        <v>29</v>
      </c>
    </row>
    <row r="16" spans="1:2" x14ac:dyDescent="0.25">
      <c r="A16" s="4" t="s">
        <v>30</v>
      </c>
      <c r="B16" s="5" t="s">
        <v>31</v>
      </c>
    </row>
    <row r="17" spans="1:2" x14ac:dyDescent="0.25">
      <c r="A17" s="4" t="s">
        <v>32</v>
      </c>
      <c r="B17" s="5" t="s">
        <v>33</v>
      </c>
    </row>
    <row r="18" spans="1:2" x14ac:dyDescent="0.25">
      <c r="A18" s="4" t="s">
        <v>34</v>
      </c>
      <c r="B18" s="5" t="s">
        <v>35</v>
      </c>
    </row>
    <row r="19" spans="1:2" x14ac:dyDescent="0.25">
      <c r="A19" s="4" t="s">
        <v>36</v>
      </c>
      <c r="B19" s="5" t="s">
        <v>37</v>
      </c>
    </row>
    <row r="20" spans="1:2" x14ac:dyDescent="0.25">
      <c r="A20" s="4" t="s">
        <v>38</v>
      </c>
      <c r="B20" s="5" t="s">
        <v>39</v>
      </c>
    </row>
    <row r="21" spans="1:2" x14ac:dyDescent="0.25">
      <c r="A21" s="4" t="s">
        <v>40</v>
      </c>
      <c r="B21" s="5" t="s">
        <v>41</v>
      </c>
    </row>
    <row r="22" spans="1:2" x14ac:dyDescent="0.25">
      <c r="A22" s="4" t="s">
        <v>42</v>
      </c>
      <c r="B22" s="5" t="s">
        <v>43</v>
      </c>
    </row>
    <row r="23" spans="1:2" x14ac:dyDescent="0.25">
      <c r="A23" s="4" t="s">
        <v>44</v>
      </c>
      <c r="B23" s="5" t="s">
        <v>45</v>
      </c>
    </row>
    <row r="24" spans="1:2" x14ac:dyDescent="0.25">
      <c r="A24" s="4" t="s">
        <v>46</v>
      </c>
      <c r="B24" s="5" t="s">
        <v>47</v>
      </c>
    </row>
    <row r="25" spans="1:2" x14ac:dyDescent="0.25">
      <c r="A25" s="4" t="s">
        <v>48</v>
      </c>
      <c r="B25" s="5" t="s">
        <v>49</v>
      </c>
    </row>
    <row r="26" spans="1:2" x14ac:dyDescent="0.25">
      <c r="A26" s="4" t="s">
        <v>50</v>
      </c>
      <c r="B26" s="5" t="s">
        <v>51</v>
      </c>
    </row>
    <row r="27" spans="1:2" x14ac:dyDescent="0.25">
      <c r="A27" s="4" t="s">
        <v>52</v>
      </c>
      <c r="B27" s="5" t="s">
        <v>53</v>
      </c>
    </row>
    <row r="28" spans="1:2" x14ac:dyDescent="0.25">
      <c r="A28" s="4" t="s">
        <v>54</v>
      </c>
      <c r="B28" s="5" t="s">
        <v>55</v>
      </c>
    </row>
    <row r="29" spans="1:2" x14ac:dyDescent="0.25">
      <c r="A29" s="4" t="s">
        <v>56</v>
      </c>
      <c r="B29" s="5" t="s">
        <v>57</v>
      </c>
    </row>
    <row r="30" spans="1:2" x14ac:dyDescent="0.25">
      <c r="A30" s="4" t="s">
        <v>58</v>
      </c>
      <c r="B30" s="5" t="s">
        <v>59</v>
      </c>
    </row>
  </sheetData>
  <autoFilter ref="A1:B30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4" activePane="bottomLeft" state="frozen"/>
      <selection pane="bottomLeft"/>
    </sheetView>
  </sheetViews>
  <sheetFormatPr defaultRowHeight="14.4" x14ac:dyDescent="0.25"/>
  <cols>
    <col min="1" max="1" width="18" customWidth="1"/>
    <col min="2" max="2" width="16" customWidth="1"/>
    <col min="3" max="3" width="32" customWidth="1"/>
    <col min="4" max="4" width="28" customWidth="1"/>
    <col min="5" max="5" width="36" customWidth="1"/>
    <col min="6" max="6" width="20" customWidth="1"/>
    <col min="7" max="7" width="30" customWidth="1"/>
    <col min="8" max="8" width="56" customWidth="1"/>
  </cols>
  <sheetData>
    <row r="1" spans="1:8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</row>
    <row r="2" spans="1:8" ht="28.8" x14ac:dyDescent="0.25">
      <c r="A2" s="3" t="s">
        <v>68</v>
      </c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 t="s">
        <v>74</v>
      </c>
      <c r="H2" s="3" t="s">
        <v>19</v>
      </c>
    </row>
    <row r="3" spans="1:8" ht="43.2" x14ac:dyDescent="0.25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81</v>
      </c>
      <c r="H3" s="3" t="s">
        <v>21</v>
      </c>
    </row>
    <row r="4" spans="1:8" ht="43.2" x14ac:dyDescent="0.25">
      <c r="A4" s="3" t="s">
        <v>82</v>
      </c>
      <c r="B4" s="3" t="s">
        <v>83</v>
      </c>
      <c r="C4" s="3" t="s">
        <v>84</v>
      </c>
      <c r="D4" s="3" t="s">
        <v>85</v>
      </c>
      <c r="E4" s="3" t="s">
        <v>86</v>
      </c>
      <c r="F4" s="3" t="s">
        <v>80</v>
      </c>
      <c r="G4" s="3" t="s">
        <v>87</v>
      </c>
      <c r="H4" s="3" t="s">
        <v>21</v>
      </c>
    </row>
    <row r="5" spans="1:8" ht="43.2" x14ac:dyDescent="0.25">
      <c r="A5" s="3" t="s">
        <v>88</v>
      </c>
      <c r="B5" s="3" t="s">
        <v>89</v>
      </c>
      <c r="C5" s="3" t="s">
        <v>90</v>
      </c>
      <c r="D5" s="3" t="s">
        <v>91</v>
      </c>
      <c r="E5" s="3" t="s">
        <v>92</v>
      </c>
      <c r="F5" s="3" t="s">
        <v>73</v>
      </c>
      <c r="G5" s="3" t="s">
        <v>93</v>
      </c>
      <c r="H5" s="3" t="s">
        <v>19</v>
      </c>
    </row>
    <row r="6" spans="1:8" ht="57.6" x14ac:dyDescent="0.25">
      <c r="A6" s="3" t="s">
        <v>94</v>
      </c>
      <c r="B6" s="3" t="s">
        <v>95</v>
      </c>
      <c r="C6" s="3" t="s">
        <v>96</v>
      </c>
      <c r="D6" s="3" t="s">
        <v>97</v>
      </c>
      <c r="E6" s="3" t="s">
        <v>98</v>
      </c>
      <c r="F6" s="3" t="s">
        <v>99</v>
      </c>
      <c r="G6" s="3" t="s">
        <v>100</v>
      </c>
      <c r="H6" s="3" t="s">
        <v>29</v>
      </c>
    </row>
    <row r="7" spans="1:8" ht="57.6" x14ac:dyDescent="0.25">
      <c r="A7" s="3" t="s">
        <v>101</v>
      </c>
      <c r="B7" s="3" t="s">
        <v>89</v>
      </c>
      <c r="C7" s="3" t="s">
        <v>102</v>
      </c>
      <c r="D7" s="3" t="s">
        <v>103</v>
      </c>
      <c r="E7" s="3" t="s">
        <v>104</v>
      </c>
      <c r="F7" s="3" t="s">
        <v>105</v>
      </c>
      <c r="G7" s="3" t="s">
        <v>106</v>
      </c>
      <c r="H7" s="3" t="s">
        <v>25</v>
      </c>
    </row>
    <row r="8" spans="1:8" ht="43.2" x14ac:dyDescent="0.25">
      <c r="A8" s="3" t="s">
        <v>107</v>
      </c>
      <c r="B8" s="3" t="s">
        <v>108</v>
      </c>
      <c r="C8" s="3" t="s">
        <v>109</v>
      </c>
      <c r="D8" s="3" t="s">
        <v>110</v>
      </c>
      <c r="E8" s="3" t="s">
        <v>111</v>
      </c>
      <c r="F8" s="3" t="s">
        <v>112</v>
      </c>
      <c r="G8" s="3" t="s">
        <v>113</v>
      </c>
      <c r="H8" s="3" t="s">
        <v>29</v>
      </c>
    </row>
    <row r="9" spans="1:8" ht="43.2" x14ac:dyDescent="0.25">
      <c r="A9" s="3" t="s">
        <v>114</v>
      </c>
      <c r="B9" s="3" t="s">
        <v>115</v>
      </c>
      <c r="C9" s="3" t="s">
        <v>116</v>
      </c>
      <c r="D9" s="3" t="s">
        <v>117</v>
      </c>
      <c r="E9" s="3" t="s">
        <v>118</v>
      </c>
      <c r="F9" s="3" t="s">
        <v>119</v>
      </c>
      <c r="G9" s="3" t="s">
        <v>120</v>
      </c>
      <c r="H9" s="3" t="s">
        <v>29</v>
      </c>
    </row>
  </sheetData>
  <autoFilter ref="A1:H9" xr:uid="{00000000-0009-0000-0000-000001000000}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pane ySplit="1" topLeftCell="A2" activePane="bottomLeft" state="frozen"/>
      <selection pane="bottomLeft" activeCell="E6" sqref="E6"/>
    </sheetView>
  </sheetViews>
  <sheetFormatPr defaultRowHeight="14.4" x14ac:dyDescent="0.25"/>
  <cols>
    <col min="1" max="1" width="14" customWidth="1"/>
    <col min="2" max="2" width="18" customWidth="1"/>
    <col min="3" max="3" width="24" customWidth="1"/>
    <col min="4" max="4" width="36" customWidth="1"/>
    <col min="5" max="5" width="40" customWidth="1"/>
    <col min="6" max="6" width="18" customWidth="1"/>
    <col min="7" max="7" width="28" customWidth="1"/>
    <col min="8" max="8" width="56" customWidth="1"/>
  </cols>
  <sheetData>
    <row r="1" spans="1:8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65</v>
      </c>
      <c r="G1" s="1" t="s">
        <v>66</v>
      </c>
      <c r="H1" s="1" t="s">
        <v>67</v>
      </c>
    </row>
    <row r="2" spans="1:8" ht="28.8" x14ac:dyDescent="0.25">
      <c r="A2" s="3" t="s">
        <v>126</v>
      </c>
      <c r="B2" s="3" t="s">
        <v>127</v>
      </c>
      <c r="C2" s="3" t="s">
        <v>128</v>
      </c>
      <c r="D2" s="3" t="s">
        <v>129</v>
      </c>
      <c r="E2" s="3" t="s">
        <v>130</v>
      </c>
      <c r="F2" s="3" t="s">
        <v>80</v>
      </c>
      <c r="G2" s="3" t="s">
        <v>131</v>
      </c>
      <c r="H2" s="3" t="s">
        <v>21</v>
      </c>
    </row>
    <row r="3" spans="1:8" ht="28.8" x14ac:dyDescent="0.25">
      <c r="A3" s="3" t="s">
        <v>82</v>
      </c>
      <c r="B3" s="3" t="s">
        <v>132</v>
      </c>
      <c r="C3" s="3" t="s">
        <v>133</v>
      </c>
      <c r="D3" s="3" t="s">
        <v>134</v>
      </c>
      <c r="E3" s="3" t="s">
        <v>135</v>
      </c>
      <c r="F3" s="3" t="s">
        <v>80</v>
      </c>
      <c r="G3" s="3" t="s">
        <v>131</v>
      </c>
      <c r="H3" s="3" t="s">
        <v>21</v>
      </c>
    </row>
    <row r="4" spans="1:8" ht="28.8" x14ac:dyDescent="0.25">
      <c r="A4" s="3" t="s">
        <v>136</v>
      </c>
      <c r="B4" s="3" t="s">
        <v>137</v>
      </c>
      <c r="C4" s="3" t="s">
        <v>138</v>
      </c>
      <c r="D4" s="3" t="s">
        <v>139</v>
      </c>
      <c r="E4" s="3" t="s">
        <v>140</v>
      </c>
      <c r="F4" s="3" t="s">
        <v>80</v>
      </c>
      <c r="G4" s="3" t="s">
        <v>131</v>
      </c>
      <c r="H4" s="3" t="s">
        <v>21</v>
      </c>
    </row>
    <row r="5" spans="1:8" ht="28.8" x14ac:dyDescent="0.25">
      <c r="A5" s="3" t="s">
        <v>141</v>
      </c>
      <c r="B5" s="3" t="s">
        <v>142</v>
      </c>
      <c r="C5" s="3" t="s">
        <v>143</v>
      </c>
      <c r="D5" s="3" t="s">
        <v>144</v>
      </c>
      <c r="E5" s="3" t="s">
        <v>145</v>
      </c>
      <c r="F5" s="3" t="s">
        <v>146</v>
      </c>
      <c r="G5" s="3" t="s">
        <v>147</v>
      </c>
      <c r="H5" s="3" t="s">
        <v>23</v>
      </c>
    </row>
    <row r="6" spans="1:8" ht="28.8" x14ac:dyDescent="0.25">
      <c r="A6" s="3" t="s">
        <v>148</v>
      </c>
      <c r="B6" s="3" t="s">
        <v>149</v>
      </c>
      <c r="C6" s="3" t="s">
        <v>150</v>
      </c>
      <c r="D6" s="3" t="s">
        <v>151</v>
      </c>
      <c r="E6" s="3" t="s">
        <v>152</v>
      </c>
      <c r="F6" s="3" t="s">
        <v>146</v>
      </c>
      <c r="G6" s="3" t="s">
        <v>74</v>
      </c>
      <c r="H6" s="3" t="s">
        <v>23</v>
      </c>
    </row>
  </sheetData>
  <autoFilter ref="A1:H6" xr:uid="{00000000-0009-0000-0000-000002000000}"/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workbookViewId="0">
      <pane ySplit="1" topLeftCell="A3" activePane="bottomLeft" state="frozen"/>
      <selection pane="bottomLeft" activeCell="D16" sqref="D15:D16"/>
    </sheetView>
  </sheetViews>
  <sheetFormatPr defaultRowHeight="14.4" x14ac:dyDescent="0.25"/>
  <cols>
    <col min="1" max="1" width="24" customWidth="1"/>
    <col min="2" max="2" width="14" customWidth="1"/>
    <col min="3" max="4" width="28" customWidth="1"/>
    <col min="5" max="5" width="12" customWidth="1"/>
    <col min="6" max="6" width="14" customWidth="1"/>
    <col min="7" max="7" width="24" customWidth="1"/>
    <col min="8" max="8" width="20" customWidth="1"/>
    <col min="9" max="9" width="10" customWidth="1"/>
    <col min="10" max="10" width="20" customWidth="1"/>
    <col min="11" max="11" width="26" customWidth="1"/>
    <col min="12" max="12" width="44" customWidth="1"/>
    <col min="13" max="13" width="56" customWidth="1"/>
  </cols>
  <sheetData>
    <row r="1" spans="1:13" ht="28.8" x14ac:dyDescent="0.25">
      <c r="A1" s="1" t="s">
        <v>153</v>
      </c>
      <c r="B1" s="1" t="s">
        <v>154</v>
      </c>
      <c r="C1" s="1" t="s">
        <v>155</v>
      </c>
      <c r="D1" s="1" t="s">
        <v>123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66</v>
      </c>
      <c r="L1" s="1" t="s">
        <v>162</v>
      </c>
      <c r="M1" s="1" t="s">
        <v>67</v>
      </c>
    </row>
    <row r="2" spans="1:13" ht="43.2" x14ac:dyDescent="0.25">
      <c r="A2" s="9" t="s">
        <v>304</v>
      </c>
      <c r="B2" s="3" t="s">
        <v>163</v>
      </c>
      <c r="C2" s="3" t="s">
        <v>164</v>
      </c>
      <c r="D2" s="3" t="s">
        <v>165</v>
      </c>
      <c r="E2" s="6">
        <v>64</v>
      </c>
      <c r="F2" s="6"/>
      <c r="G2" s="3" t="s">
        <v>166</v>
      </c>
      <c r="H2" s="3" t="s">
        <v>167</v>
      </c>
      <c r="I2" s="3">
        <v>67</v>
      </c>
      <c r="J2" s="3" t="s">
        <v>80</v>
      </c>
      <c r="K2" s="3" t="s">
        <v>168</v>
      </c>
      <c r="L2" s="3" t="s">
        <v>169</v>
      </c>
      <c r="M2" s="3" t="s">
        <v>21</v>
      </c>
    </row>
    <row r="3" spans="1:13" ht="28.8" x14ac:dyDescent="0.25">
      <c r="A3" s="9" t="s">
        <v>305</v>
      </c>
      <c r="B3" s="3" t="s">
        <v>163</v>
      </c>
      <c r="C3" s="3" t="s">
        <v>171</v>
      </c>
      <c r="D3" s="3" t="s">
        <v>172</v>
      </c>
      <c r="E3" s="6">
        <v>140</v>
      </c>
      <c r="F3" s="6">
        <v>70</v>
      </c>
      <c r="G3" s="3" t="s">
        <v>173</v>
      </c>
      <c r="H3" s="3" t="s">
        <v>174</v>
      </c>
      <c r="I3" s="3">
        <v>72</v>
      </c>
      <c r="J3" s="3" t="s">
        <v>175</v>
      </c>
      <c r="K3" s="3" t="s">
        <v>176</v>
      </c>
      <c r="L3" s="3" t="s">
        <v>177</v>
      </c>
      <c r="M3" s="3" t="s">
        <v>31</v>
      </c>
    </row>
    <row r="4" spans="1:13" ht="28.8" x14ac:dyDescent="0.25">
      <c r="A4" s="3" t="s">
        <v>178</v>
      </c>
      <c r="B4" s="3" t="s">
        <v>179</v>
      </c>
      <c r="C4" s="3" t="s">
        <v>180</v>
      </c>
      <c r="D4" s="3" t="s">
        <v>181</v>
      </c>
      <c r="E4" s="6">
        <v>100</v>
      </c>
      <c r="F4" s="6">
        <v>50</v>
      </c>
      <c r="G4" s="3" t="s">
        <v>173</v>
      </c>
      <c r="H4" s="3" t="s">
        <v>174</v>
      </c>
      <c r="I4" s="3">
        <v>72</v>
      </c>
      <c r="J4" s="3" t="s">
        <v>182</v>
      </c>
      <c r="K4" s="3" t="s">
        <v>183</v>
      </c>
      <c r="L4" s="3" t="s">
        <v>184</v>
      </c>
      <c r="M4" s="3" t="s">
        <v>35</v>
      </c>
    </row>
    <row r="5" spans="1:13" ht="28.8" x14ac:dyDescent="0.25">
      <c r="A5" s="3" t="s">
        <v>185</v>
      </c>
      <c r="B5" s="3" t="s">
        <v>179</v>
      </c>
      <c r="C5" s="3" t="s">
        <v>171</v>
      </c>
      <c r="D5" s="3" t="s">
        <v>186</v>
      </c>
      <c r="E5" s="6">
        <v>140</v>
      </c>
      <c r="F5" s="6">
        <v>70</v>
      </c>
      <c r="G5" s="3" t="s">
        <v>187</v>
      </c>
      <c r="H5" s="3" t="s">
        <v>174</v>
      </c>
      <c r="I5" s="3">
        <v>72</v>
      </c>
      <c r="J5" s="3" t="s">
        <v>175</v>
      </c>
      <c r="K5" s="3" t="s">
        <v>176</v>
      </c>
      <c r="L5" s="3" t="s">
        <v>188</v>
      </c>
      <c r="M5" s="3" t="s">
        <v>31</v>
      </c>
    </row>
    <row r="6" spans="1:13" ht="28.8" x14ac:dyDescent="0.25">
      <c r="A6" s="3" t="s">
        <v>189</v>
      </c>
      <c r="B6" s="3" t="s">
        <v>163</v>
      </c>
      <c r="C6" s="3" t="s">
        <v>190</v>
      </c>
      <c r="D6" s="3" t="s">
        <v>191</v>
      </c>
      <c r="E6" s="6">
        <v>280</v>
      </c>
      <c r="F6" s="6">
        <v>140</v>
      </c>
      <c r="G6" s="3" t="s">
        <v>192</v>
      </c>
      <c r="H6" s="3" t="s">
        <v>193</v>
      </c>
      <c r="I6" s="3">
        <v>150</v>
      </c>
      <c r="J6" s="3" t="s">
        <v>175</v>
      </c>
      <c r="K6" s="3" t="s">
        <v>176</v>
      </c>
      <c r="L6" s="3" t="s">
        <v>194</v>
      </c>
      <c r="M6" s="3" t="s">
        <v>31</v>
      </c>
    </row>
    <row r="7" spans="1:13" ht="28.8" x14ac:dyDescent="0.25">
      <c r="A7" s="3" t="s">
        <v>195</v>
      </c>
      <c r="B7" s="3" t="s">
        <v>163</v>
      </c>
      <c r="C7" s="3" t="s">
        <v>196</v>
      </c>
      <c r="D7" s="3" t="s">
        <v>197</v>
      </c>
      <c r="E7" s="6">
        <v>560</v>
      </c>
      <c r="F7" s="6">
        <v>280</v>
      </c>
      <c r="G7" s="3" t="s">
        <v>198</v>
      </c>
      <c r="H7" s="3" t="s">
        <v>199</v>
      </c>
      <c r="I7" s="3">
        <v>350</v>
      </c>
      <c r="J7" s="3" t="s">
        <v>200</v>
      </c>
      <c r="K7" s="3" t="s">
        <v>201</v>
      </c>
      <c r="L7" s="3" t="s">
        <v>202</v>
      </c>
      <c r="M7" s="3" t="s">
        <v>33</v>
      </c>
    </row>
    <row r="8" spans="1:13" ht="28.8" x14ac:dyDescent="0.25">
      <c r="A8" s="3" t="s">
        <v>203</v>
      </c>
      <c r="B8" s="3" t="s">
        <v>204</v>
      </c>
      <c r="C8" s="3" t="s">
        <v>205</v>
      </c>
      <c r="D8" s="3" t="s">
        <v>206</v>
      </c>
      <c r="E8" s="6"/>
      <c r="F8" s="6"/>
      <c r="G8" s="3" t="s">
        <v>207</v>
      </c>
      <c r="H8" s="3" t="s">
        <v>207</v>
      </c>
      <c r="I8" s="3"/>
      <c r="J8" s="3" t="s">
        <v>208</v>
      </c>
      <c r="K8" s="3" t="s">
        <v>209</v>
      </c>
      <c r="L8" s="3" t="s">
        <v>210</v>
      </c>
      <c r="M8" s="3" t="s">
        <v>211</v>
      </c>
    </row>
    <row r="9" spans="1:13" ht="28.8" x14ac:dyDescent="0.25">
      <c r="A9" s="3" t="s">
        <v>212</v>
      </c>
      <c r="B9" s="3" t="s">
        <v>204</v>
      </c>
      <c r="C9" s="3" t="s">
        <v>213</v>
      </c>
      <c r="D9" s="3" t="s">
        <v>214</v>
      </c>
      <c r="E9" s="6"/>
      <c r="F9" s="6">
        <v>280</v>
      </c>
      <c r="G9" s="3" t="s">
        <v>215</v>
      </c>
      <c r="H9" s="3" t="s">
        <v>216</v>
      </c>
      <c r="I9" s="3">
        <v>300</v>
      </c>
      <c r="J9" s="3" t="s">
        <v>217</v>
      </c>
      <c r="K9" s="3" t="s">
        <v>218</v>
      </c>
      <c r="L9" s="3" t="s">
        <v>219</v>
      </c>
      <c r="M9" s="3" t="s">
        <v>47</v>
      </c>
    </row>
    <row r="10" spans="1:13" ht="28.8" x14ac:dyDescent="0.25">
      <c r="A10" s="9" t="s">
        <v>306</v>
      </c>
      <c r="B10" s="3" t="s">
        <v>204</v>
      </c>
      <c r="C10" s="3" t="s">
        <v>220</v>
      </c>
      <c r="D10" s="3" t="s">
        <v>221</v>
      </c>
      <c r="E10" s="6"/>
      <c r="F10" s="6"/>
      <c r="G10" s="3" t="s">
        <v>222</v>
      </c>
      <c r="H10" s="3" t="s">
        <v>222</v>
      </c>
      <c r="I10" s="3"/>
      <c r="J10" s="3" t="s">
        <v>208</v>
      </c>
      <c r="K10" s="3" t="s">
        <v>223</v>
      </c>
      <c r="L10" s="3" t="s">
        <v>224</v>
      </c>
      <c r="M10" s="3" t="s">
        <v>225</v>
      </c>
    </row>
  </sheetData>
  <autoFilter ref="A1:M10" xr:uid="{00000000-0009-0000-0000-000003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tabSelected="1" topLeftCell="I1" workbookViewId="0">
      <pane ySplit="1" topLeftCell="A2" activePane="bottomLeft" state="frozen"/>
      <selection pane="bottomLeft" activeCell="J2" sqref="J2"/>
    </sheetView>
  </sheetViews>
  <sheetFormatPr defaultRowHeight="14.4" x14ac:dyDescent="0.25"/>
  <cols>
    <col min="1" max="1" width="24" customWidth="1"/>
    <col min="2" max="2" width="16" customWidth="1"/>
    <col min="3" max="3" width="18" customWidth="1"/>
    <col min="4" max="4" width="34" customWidth="1"/>
    <col min="5" max="5" width="20" customWidth="1"/>
    <col min="6" max="6" width="22" customWidth="1"/>
    <col min="7" max="8" width="12" customWidth="1"/>
    <col min="9" max="9" width="24" customWidth="1"/>
    <col min="10" max="10" width="44" customWidth="1"/>
    <col min="11" max="11" width="32" customWidth="1"/>
    <col min="12" max="13" width="50" customWidth="1"/>
  </cols>
  <sheetData>
    <row r="1" spans="1:13" ht="28.8" x14ac:dyDescent="0.25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</row>
    <row r="2" spans="1:13" ht="43.2" x14ac:dyDescent="0.25">
      <c r="A2" s="3" t="s">
        <v>239</v>
      </c>
      <c r="B2" s="6">
        <v>512</v>
      </c>
      <c r="C2" s="6">
        <v>256</v>
      </c>
      <c r="D2" s="9" t="s">
        <v>307</v>
      </c>
      <c r="E2" s="6">
        <v>624</v>
      </c>
      <c r="F2" s="6">
        <v>312</v>
      </c>
      <c r="G2" s="7">
        <f t="shared" ref="G2:G11" si="0">IF(OR(B2="",E2=""),"",ABS(E2-B2)/B2)</f>
        <v>0.21875</v>
      </c>
      <c r="H2" s="7">
        <f t="shared" ref="H2:H11" si="1">IF(OR(C2="",F2=""),"",ABS(F2-C2)/C2)</f>
        <v>0.21875</v>
      </c>
      <c r="I2" s="3" t="s">
        <v>241</v>
      </c>
      <c r="J2" s="3" t="s">
        <v>242</v>
      </c>
      <c r="K2" s="3" t="s">
        <v>243</v>
      </c>
      <c r="L2" s="3" t="s">
        <v>25</v>
      </c>
      <c r="M2" s="10" t="s">
        <v>308</v>
      </c>
    </row>
    <row r="3" spans="1:13" ht="57.6" x14ac:dyDescent="0.25">
      <c r="A3" s="3" t="s">
        <v>244</v>
      </c>
      <c r="B3" s="6">
        <v>560</v>
      </c>
      <c r="C3" s="6">
        <v>280</v>
      </c>
      <c r="D3" s="3" t="s">
        <v>240</v>
      </c>
      <c r="E3" s="6">
        <v>624</v>
      </c>
      <c r="F3" s="6">
        <v>312</v>
      </c>
      <c r="G3" s="7">
        <f t="shared" si="0"/>
        <v>0.11428571428571428</v>
      </c>
      <c r="H3" s="7">
        <f t="shared" si="1"/>
        <v>0.11428571428571428</v>
      </c>
      <c r="I3" s="3" t="s">
        <v>245</v>
      </c>
      <c r="J3" s="3" t="s">
        <v>246</v>
      </c>
      <c r="K3" s="3" t="s">
        <v>247</v>
      </c>
      <c r="L3" s="3" t="s">
        <v>29</v>
      </c>
      <c r="M3" s="3" t="s">
        <v>57</v>
      </c>
    </row>
    <row r="4" spans="1:13" ht="72" x14ac:dyDescent="0.25">
      <c r="A4" s="3" t="s">
        <v>248</v>
      </c>
      <c r="B4" s="6">
        <v>1500</v>
      </c>
      <c r="C4" s="6">
        <v>750</v>
      </c>
      <c r="D4" s="3" t="s">
        <v>249</v>
      </c>
      <c r="E4" s="6">
        <v>1979</v>
      </c>
      <c r="F4" s="6">
        <v>989.5</v>
      </c>
      <c r="G4" s="7">
        <f t="shared" si="0"/>
        <v>0.31933333333333336</v>
      </c>
      <c r="H4" s="7">
        <f t="shared" si="1"/>
        <v>0.31933333333333336</v>
      </c>
      <c r="I4" s="3" t="s">
        <v>250</v>
      </c>
      <c r="J4" s="3" t="s">
        <v>251</v>
      </c>
      <c r="K4" s="3" t="s">
        <v>252</v>
      </c>
      <c r="L4" s="3" t="s">
        <v>45</v>
      </c>
      <c r="M4" s="3" t="s">
        <v>59</v>
      </c>
    </row>
    <row r="5" spans="1:13" ht="43.2" x14ac:dyDescent="0.25">
      <c r="A5" s="3" t="s">
        <v>253</v>
      </c>
      <c r="B5" s="6">
        <v>64</v>
      </c>
      <c r="C5" s="6"/>
      <c r="D5" s="3" t="s">
        <v>254</v>
      </c>
      <c r="E5" s="6">
        <v>72</v>
      </c>
      <c r="F5" s="6">
        <v>36</v>
      </c>
      <c r="G5" s="7">
        <f t="shared" si="0"/>
        <v>0.125</v>
      </c>
      <c r="H5" s="7" t="str">
        <f t="shared" si="1"/>
        <v/>
      </c>
      <c r="I5" s="3" t="s">
        <v>255</v>
      </c>
      <c r="J5" s="3" t="s">
        <v>256</v>
      </c>
      <c r="K5" s="3" t="s">
        <v>257</v>
      </c>
      <c r="L5" s="3" t="s">
        <v>21</v>
      </c>
      <c r="M5" s="3" t="s">
        <v>258</v>
      </c>
    </row>
    <row r="6" spans="1:13" ht="43.2" x14ac:dyDescent="0.25">
      <c r="A6" s="3" t="s">
        <v>178</v>
      </c>
      <c r="B6" s="6">
        <v>100</v>
      </c>
      <c r="C6" s="6">
        <v>50</v>
      </c>
      <c r="D6" s="3" t="s">
        <v>259</v>
      </c>
      <c r="E6" s="6">
        <v>130</v>
      </c>
      <c r="F6" s="6">
        <v>65</v>
      </c>
      <c r="G6" s="7">
        <f t="shared" si="0"/>
        <v>0.3</v>
      </c>
      <c r="H6" s="7">
        <f t="shared" si="1"/>
        <v>0.3</v>
      </c>
      <c r="I6" s="3" t="s">
        <v>260</v>
      </c>
      <c r="J6" s="3" t="s">
        <v>261</v>
      </c>
      <c r="K6" s="3" t="s">
        <v>262</v>
      </c>
      <c r="L6" s="3" t="s">
        <v>35</v>
      </c>
      <c r="M6" s="3" t="s">
        <v>53</v>
      </c>
    </row>
    <row r="7" spans="1:13" ht="43.2" x14ac:dyDescent="0.25">
      <c r="A7" s="3" t="s">
        <v>170</v>
      </c>
      <c r="B7" s="6">
        <v>140</v>
      </c>
      <c r="C7" s="6">
        <v>70</v>
      </c>
      <c r="D7" s="3" t="s">
        <v>259</v>
      </c>
      <c r="E7" s="6">
        <v>130</v>
      </c>
      <c r="F7" s="6">
        <v>65</v>
      </c>
      <c r="G7" s="7">
        <f t="shared" si="0"/>
        <v>7.1428571428571425E-2</v>
      </c>
      <c r="H7" s="7">
        <f t="shared" si="1"/>
        <v>7.1428571428571425E-2</v>
      </c>
      <c r="I7" s="3" t="s">
        <v>263</v>
      </c>
      <c r="J7" s="3" t="s">
        <v>264</v>
      </c>
      <c r="K7" s="3" t="s">
        <v>265</v>
      </c>
      <c r="L7" s="3" t="s">
        <v>37</v>
      </c>
      <c r="M7" s="3" t="s">
        <v>53</v>
      </c>
    </row>
    <row r="8" spans="1:13" ht="43.2" x14ac:dyDescent="0.25">
      <c r="A8" s="3" t="s">
        <v>185</v>
      </c>
      <c r="B8" s="6">
        <v>140</v>
      </c>
      <c r="C8" s="6">
        <v>70</v>
      </c>
      <c r="D8" s="3" t="s">
        <v>259</v>
      </c>
      <c r="E8" s="6">
        <v>130</v>
      </c>
      <c r="F8" s="6">
        <v>65</v>
      </c>
      <c r="G8" s="7">
        <f t="shared" si="0"/>
        <v>7.1428571428571425E-2</v>
      </c>
      <c r="H8" s="7">
        <f t="shared" si="1"/>
        <v>7.1428571428571425E-2</v>
      </c>
      <c r="I8" s="3" t="s">
        <v>266</v>
      </c>
      <c r="J8" s="3" t="s">
        <v>267</v>
      </c>
      <c r="K8" s="3" t="s">
        <v>268</v>
      </c>
      <c r="L8" s="3" t="s">
        <v>39</v>
      </c>
      <c r="M8" s="3" t="s">
        <v>53</v>
      </c>
    </row>
    <row r="9" spans="1:13" ht="43.2" x14ac:dyDescent="0.25">
      <c r="A9" s="3" t="s">
        <v>189</v>
      </c>
      <c r="B9" s="6">
        <v>280</v>
      </c>
      <c r="C9" s="6">
        <v>140</v>
      </c>
      <c r="D9" s="3" t="s">
        <v>269</v>
      </c>
      <c r="E9" s="6">
        <v>242.5</v>
      </c>
      <c r="F9" s="6">
        <v>121</v>
      </c>
      <c r="G9" s="7">
        <f t="shared" si="0"/>
        <v>0.13392857142857142</v>
      </c>
      <c r="H9" s="7">
        <f t="shared" si="1"/>
        <v>0.1357142857142857</v>
      </c>
      <c r="I9" s="3" t="s">
        <v>270</v>
      </c>
      <c r="J9" s="3" t="s">
        <v>271</v>
      </c>
      <c r="K9" s="3" t="s">
        <v>272</v>
      </c>
      <c r="L9" s="3" t="s">
        <v>41</v>
      </c>
      <c r="M9" s="3" t="s">
        <v>55</v>
      </c>
    </row>
    <row r="10" spans="1:13" ht="43.2" x14ac:dyDescent="0.25">
      <c r="A10" s="3" t="s">
        <v>195</v>
      </c>
      <c r="B10" s="6">
        <v>560</v>
      </c>
      <c r="C10" s="6">
        <v>280</v>
      </c>
      <c r="D10" s="9" t="s">
        <v>307</v>
      </c>
      <c r="E10" s="6">
        <v>624</v>
      </c>
      <c r="F10" s="6">
        <v>312</v>
      </c>
      <c r="G10" s="7">
        <f t="shared" si="0"/>
        <v>0.11428571428571428</v>
      </c>
      <c r="H10" s="7">
        <f t="shared" si="1"/>
        <v>0.11428571428571428</v>
      </c>
      <c r="I10" s="3" t="s">
        <v>273</v>
      </c>
      <c r="J10" s="3" t="s">
        <v>274</v>
      </c>
      <c r="K10" s="3" t="s">
        <v>275</v>
      </c>
      <c r="L10" s="3" t="s">
        <v>43</v>
      </c>
      <c r="M10" s="3" t="s">
        <v>57</v>
      </c>
    </row>
    <row r="11" spans="1:13" ht="43.2" x14ac:dyDescent="0.25">
      <c r="A11" s="3" t="s">
        <v>212</v>
      </c>
      <c r="B11" s="6"/>
      <c r="C11" s="6">
        <v>280</v>
      </c>
      <c r="D11" s="3" t="s">
        <v>240</v>
      </c>
      <c r="E11" s="6">
        <v>624</v>
      </c>
      <c r="F11" s="6">
        <v>312</v>
      </c>
      <c r="G11" s="7" t="str">
        <f t="shared" si="0"/>
        <v/>
      </c>
      <c r="H11" s="7">
        <f t="shared" si="1"/>
        <v>0.11428571428571428</v>
      </c>
      <c r="I11" s="3" t="s">
        <v>276</v>
      </c>
      <c r="J11" s="3" t="s">
        <v>277</v>
      </c>
      <c r="K11" s="3" t="s">
        <v>278</v>
      </c>
      <c r="L11" s="3" t="s">
        <v>47</v>
      </c>
      <c r="M11" s="3" t="s">
        <v>57</v>
      </c>
    </row>
  </sheetData>
  <autoFilter ref="A1:M11" xr:uid="{00000000-0009-0000-0000-000004000000}"/>
  <phoneticPr fontId="4" type="noConversion"/>
  <hyperlinks>
    <hyperlink ref="M2" r:id="rId1" xr:uid="{BF6CC60E-8B2A-48B1-95CD-EE3D8F9A2291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6" customWidth="1"/>
    <col min="2" max="2" width="34" customWidth="1"/>
    <col min="3" max="3" width="52" customWidth="1"/>
    <col min="4" max="4" width="56" customWidth="1"/>
  </cols>
  <sheetData>
    <row r="1" spans="1:4" x14ac:dyDescent="0.25">
      <c r="A1" s="1" t="s">
        <v>65</v>
      </c>
      <c r="B1" s="1" t="s">
        <v>279</v>
      </c>
      <c r="C1" s="1" t="s">
        <v>280</v>
      </c>
      <c r="D1" s="1" t="s">
        <v>67</v>
      </c>
    </row>
    <row r="2" spans="1:4" ht="28.8" x14ac:dyDescent="0.25">
      <c r="A2" s="3" t="s">
        <v>73</v>
      </c>
      <c r="B2" s="3" t="s">
        <v>281</v>
      </c>
      <c r="C2" s="3" t="s">
        <v>282</v>
      </c>
      <c r="D2" s="3" t="s">
        <v>19</v>
      </c>
    </row>
    <row r="3" spans="1:4" ht="28.8" x14ac:dyDescent="0.25">
      <c r="A3" s="3" t="s">
        <v>80</v>
      </c>
      <c r="B3" s="3" t="s">
        <v>283</v>
      </c>
      <c r="C3" s="3" t="s">
        <v>284</v>
      </c>
      <c r="D3" s="3" t="s">
        <v>21</v>
      </c>
    </row>
    <row r="4" spans="1:4" ht="28.8" x14ac:dyDescent="0.25">
      <c r="A4" s="3" t="s">
        <v>105</v>
      </c>
      <c r="B4" s="3" t="s">
        <v>285</v>
      </c>
      <c r="C4" s="3" t="s">
        <v>286</v>
      </c>
      <c r="D4" s="3" t="s">
        <v>25</v>
      </c>
    </row>
    <row r="5" spans="1:4" ht="28.8" x14ac:dyDescent="0.25">
      <c r="A5" s="3" t="s">
        <v>146</v>
      </c>
      <c r="B5" s="3" t="s">
        <v>287</v>
      </c>
      <c r="C5" s="3" t="s">
        <v>288</v>
      </c>
      <c r="D5" s="3" t="s">
        <v>23</v>
      </c>
    </row>
    <row r="6" spans="1:4" ht="28.8" x14ac:dyDescent="0.25">
      <c r="A6" s="3" t="s">
        <v>200</v>
      </c>
      <c r="B6" s="3" t="s">
        <v>289</v>
      </c>
      <c r="C6" s="3" t="s">
        <v>290</v>
      </c>
      <c r="D6" s="3" t="s">
        <v>33</v>
      </c>
    </row>
    <row r="7" spans="1:4" ht="28.8" x14ac:dyDescent="0.25">
      <c r="A7" s="3" t="s">
        <v>175</v>
      </c>
      <c r="B7" s="3" t="s">
        <v>291</v>
      </c>
      <c r="C7" s="3" t="s">
        <v>292</v>
      </c>
      <c r="D7" s="3" t="s">
        <v>31</v>
      </c>
    </row>
  </sheetData>
  <autoFilter ref="A1:D7" xr:uid="{00000000-0009-0000-0000-000005000000}"/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25"/>
  <cols>
    <col min="1" max="1" width="20" customWidth="1"/>
    <col min="2" max="2" width="110" customWidth="1"/>
  </cols>
  <sheetData>
    <row r="1" spans="1:2" x14ac:dyDescent="0.25">
      <c r="A1" s="1" t="s">
        <v>293</v>
      </c>
      <c r="B1" s="1" t="s">
        <v>1</v>
      </c>
    </row>
    <row r="2" spans="1:2" x14ac:dyDescent="0.25">
      <c r="A2" s="2" t="s">
        <v>294</v>
      </c>
      <c r="B2" s="3" t="s">
        <v>295</v>
      </c>
    </row>
    <row r="3" spans="1:2" x14ac:dyDescent="0.25">
      <c r="A3" s="2" t="s">
        <v>296</v>
      </c>
      <c r="B3" s="3" t="s">
        <v>297</v>
      </c>
    </row>
    <row r="4" spans="1:2" x14ac:dyDescent="0.25">
      <c r="A4" s="2" t="s">
        <v>298</v>
      </c>
      <c r="B4" s="3" t="s">
        <v>299</v>
      </c>
    </row>
    <row r="5" spans="1:2" x14ac:dyDescent="0.25">
      <c r="A5" s="2" t="s">
        <v>300</v>
      </c>
      <c r="B5" s="3" t="s">
        <v>301</v>
      </c>
    </row>
    <row r="6" spans="1:2" x14ac:dyDescent="0.25">
      <c r="A6" s="2" t="s">
        <v>302</v>
      </c>
      <c r="B6" s="3" t="s">
        <v>303</v>
      </c>
    </row>
    <row r="7" spans="1:2" x14ac:dyDescent="0.25">
      <c r="A7" s="8"/>
      <c r="B7" s="3"/>
    </row>
  </sheetData>
  <autoFilter ref="A1:B7" xr:uid="{00000000-0009-0000-0000-000006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范围与方法</vt:lpstr>
      <vt:lpstr>命名规则</vt:lpstr>
      <vt:lpstr>系列映射</vt:lpstr>
      <vt:lpstr>型号调研</vt:lpstr>
      <vt:lpstr>NPU-GPU对比</vt:lpstr>
      <vt:lpstr>时间线</vt:lpstr>
      <vt:lpstr>结论摘要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靖泰 宁</cp:lastModifiedBy>
  <dcterms:created xsi:type="dcterms:W3CDTF">2026-04-09T03:20:53Z</dcterms:created>
  <dcterms:modified xsi:type="dcterms:W3CDTF">2026-04-09T06:43:06Z</dcterms:modified>
</cp:coreProperties>
</file>